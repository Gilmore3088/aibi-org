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020d9b880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 Path" sheetId="1" r:id="Rb698edda74614a37"/>
    <x:sheet xmlns:r="http://schemas.openxmlformats.org/officeDocument/2006/relationships" name="Risk Gate" sheetId="2" r:id="R447c93ae89834dfc"/>
    <x:sheet xmlns:r="http://schemas.openxmlformats.org/officeDocument/2006/relationships" name="Decision Summary" sheetId="3" r:id="Re8244e8090fc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071A2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FFFFFF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E7F6ED"/>
      </x:patternFill>
    </x:fill>
    <x:fill>
      <x:patternFill patternType="solid">
        <x:fgColor rgb="FFFFF7D6"/>
      </x:patternFill>
    </x:fill>
    <x:fill>
      <x:patternFill patternType="solid">
        <x:fgColor rgb="FFFDE8E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7c29ef1de451b" /><Relationship Type="http://schemas.openxmlformats.org/officeDocument/2006/relationships/theme" Target="/xl/theme/theme1.xml" Id="R4731573ade604d31" /><Relationship Type="http://schemas.openxmlformats.org/officeDocument/2006/relationships/sharedStrings" Target="/xl/sharedStrings.xml" Id="R2b3e7d1591984dd0" /><Relationship Type="http://schemas.openxmlformats.org/officeDocument/2006/relationships/worksheet" Target="/xl/worksheets/sheet1.xml" Id="Rb698edda74614a37" /><Relationship Type="http://schemas.openxmlformats.org/officeDocument/2006/relationships/worksheet" Target="/xl/worksheets/sheet2.xml" Id="R447c93ae89834dfc" /><Relationship Type="http://schemas.openxmlformats.org/officeDocument/2006/relationships/worksheet" Target="/xl/worksheets/sheet3.xml" Id="Re8244e8090fc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34" hidden="0" customWidth="1"/>
    <x:col min="4" max="4" width="34" hidden="0" customWidth="1"/>
  </x:cols>
  <x:sheetData>
    <x:row r="1">
      <x:c r="A1" s="2" t="str">
        <x:v>Build Path Selector</x:v>
      </x:c>
      <x:c r="B1" s="2"/>
      <x:c r="C1" s="2"/>
      <x:c r="D1" s="2"/>
    </x:row>
    <x:row r="2">
      <x:c r="A2" s="4" t="str">
        <x:v>Choose the smallest controlled path that proves value before anyone asks for an app.</x:v>
      </x:c>
      <x:c r="B2" s="4"/>
      <x:c r="C2" s="4"/>
      <x:c r="D2" s="4"/>
    </x:row>
    <x:row r="5">
      <x:c r="A5" s="8" t="str">
        <x:v>Level</x:v>
      </x:c>
      <x:c r="B5" s="8" t="str">
        <x:v>Path</x:v>
      </x:c>
      <x:c r="C5" s="8" t="str">
        <x:v>Best for</x:v>
      </x:c>
      <x:c r="D5" s="8" t="str">
        <x:v>Escalation trigger</x:v>
      </x:c>
    </x:row>
    <x:row r="6" ht="42" customHeight="1">
      <x:c r="A6" s="11" t="n">
        <x:v>1</x:v>
      </x:c>
      <x:c r="B6" s="11" t="str">
        <x:v>Prompt / working brief</x:v>
      </x:c>
      <x:c r="C6" s="11" t="str">
        <x:v>Drafts, summaries, job aids, training scenarios.</x:v>
      </x:c>
      <x:c r="D6" s="11" t="str">
        <x:v>Customer data or official record output.</x:v>
      </x:c>
    </x:row>
    <x:row r="7" ht="42" customHeight="1">
      <x:c r="A7" s="11" t="n">
        <x:v>2</x:v>
      </x:c>
      <x:c r="B7" s="11" t="str">
        <x:v>Template or checklist</x:v>
      </x:c>
      <x:c r="C7" s="11" t="str">
        <x:v>Repeatable reviews, handoffs, evidence packets.</x:v>
      </x:c>
      <x:c r="D7" s="11" t="str">
        <x:v>Customer-facing or regulated content.</x:v>
      </x:c>
    </x:row>
    <x:row r="8" ht="42" customHeight="1">
      <x:c r="A8" s="11" t="n">
        <x:v>3</x:v>
      </x:c>
      <x:c r="B8" s="11" t="str">
        <x:v>Spreadsheet or tracker</x:v>
      </x:c>
      <x:c r="C8" s="11" t="str">
        <x:v>Inventories, logs, queues, scorecards.</x:v>
      </x:c>
      <x:c r="D8" s="11" t="str">
        <x:v>Sensitive data, automated decisions, access control needs.</x:v>
      </x:c>
    </x:row>
    <x:row r="9" ht="42" customHeight="1">
      <x:c r="A9" s="11" t="n">
        <x:v>4</x:v>
      </x:c>
      <x:c r="B9" s="11" t="str">
        <x:v>No-code form or workflow</x:v>
      </x:c>
      <x:c r="C9" s="11" t="str">
        <x:v>Intake, routing, approvals, simple dashboards.</x:v>
      </x:c>
      <x:c r="D9" s="11" t="str">
        <x:v>Production write access or integration.</x:v>
      </x:c>
    </x:row>
    <x:row r="10" ht="42" customHeight="1">
      <x:c r="A10" s="11" t="n">
        <x:v>5</x:v>
      </x:c>
      <x:c r="B10" s="11" t="str">
        <x:v>Internal app or script</x:v>
      </x:c>
      <x:c r="C10" s="11" t="str">
        <x:v>Controlled utilities, document generation, dashboards.</x:v>
      </x:c>
      <x:c r="D10" s="11" t="str">
        <x:v>Customer data, APIs, credentials, production system access.</x:v>
      </x:c>
    </x:row>
    <x:row r="11" ht="42" customHeight="1">
      <x:c r="A11" s="11" t="n">
        <x:v>6</x:v>
      </x:c>
      <x:c r="B11" s="11" t="str">
        <x:v>Vendor / core enhancement</x:v>
      </x:c>
      <x:c r="C11" s="11" t="str">
        <x:v>Production systems, payments, lending, fraud, BSA/AML, authentication.</x:v>
      </x:c>
      <x:c r="D11" s="11" t="str">
        <x:v>Always formal review.</x:v>
      </x:c>
    </x:row>
    <x:row r="14">
      <x:c r="A14" s="14" t="str">
        <x:v>Selected level</x:v>
      </x:c>
      <x:c r="B14" s="11" t="str"/>
    </x:row>
    <x:row r="15">
      <x:c r="A15" s="14" t="str">
        <x:v>Selected path</x:v>
      </x:c>
      <x:c r="B15" s="11" t="str">
        <x:f>IF(B14="","",INDEX(B6:B11,B14))</x:f>
      </x:c>
    </x:row>
    <x:row r="16">
      <x:c r="A16" s="14" t="str">
        <x:v>Why this path is sufficient</x:v>
      </x:c>
      <x:c r="B16" s="11" t="str"/>
    </x:row>
    <x:row r="17">
      <x:c r="A17" s="14" t="str">
        <x:v>Escalation needed?</x:v>
      </x:c>
      <x:c r="B17" s="11" t="str"/>
    </x:row>
    <x:row r="18">
      <x:c r="A18" s="14" t="str">
        <x:v>Reviewer</x:v>
      </x:c>
      <x:c r="B18" s="11" t="str"/>
    </x:row>
  </x:sheetData>
  <x:mergeCells>
    <x:mergeCell ref="A1:D1"/>
    <x:mergeCell ref="A2:D2"/>
  </x:mergeCells>
  <x:dataValidations count="2">
    <x:dataValidation type="list" sqref="B14">
      <x:formula1>"1,2,3,4,5,6"</x:formula1>
    </x:dataValidation>
    <x:dataValidation type="list" sqref="B17">
      <x:formula1>"No,Yes"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4" hidden="0" customWidth="1"/>
    <x:col min="3" max="3" width="35" hidden="0" customWidth="1"/>
    <x:col min="5" max="5" width="24" hidden="0" customWidth="1"/>
    <x:col min="6" max="6" width="36" hidden="0" customWidth="1"/>
  </x:cols>
  <x:sheetData>
    <x:row r="1">
      <x:c r="A1" s="2" t="str">
        <x:v>Data and Risk Gate</x:v>
      </x:c>
      <x:c r="B1" s="2"/>
      <x:c r="C1" s="2"/>
      <x:c r="D1" s="2"/>
      <x:c r="E1" s="2"/>
    </x:row>
    <x:row r="2">
      <x:c r="A2" s="4" t="str">
        <x:v>A Red trigger means this is not a banker side build. Escalate before prototyping.</x:v>
      </x:c>
      <x:c r="B2" s="4"/>
      <x:c r="C2" s="4"/>
      <x:c r="D2" s="4"/>
      <x:c r="E2" s="4"/>
    </x:row>
    <x:row r="5">
      <x:c r="A5" s="8" t="str">
        <x:v>Tier</x:v>
      </x:c>
      <x:c r="B5" s="8" t="str">
        <x:v>Definition</x:v>
      </x:c>
      <x:c r="C5" s="8" t="str">
        <x:v>Required handling</x:v>
      </x:c>
      <x:c r="E5" s="19" t="str">
        <x:v>Summary</x:v>
      </x:c>
      <x:c r="F5" s="19" t="str">
        <x:v>Result</x:v>
      </x:c>
    </x:row>
    <x:row r="6" ht="64" customHeight="1">
      <x:c r="A6" s="15" t="str">
        <x:v>Green</x:v>
      </x:c>
      <x:c r="B6" s="15" t="str">
        <x:v>Internal or public data only; no customer impact; no production write; human review available.</x:v>
      </x:c>
      <x:c r="C6" s="15" t="str">
        <x:v>Can prototype with standard controls.</x:v>
      </x:c>
      <x:c r="E6" s="21" t="str">
        <x:v>Manual tier before red triggers</x:v>
      </x:c>
      <x:c r="F6" s="10" t="str">
        <x:v>Green</x:v>
      </x:c>
    </x:row>
    <x:row r="7" ht="64" customHeight="1">
      <x:c r="A7" s="16" t="str">
        <x:v>Yellow</x:v>
      </x:c>
      <x:c r="B7" s="16" t="str">
        <x:v>Internal workflow; approved tool; possible confidential data; retained business record; mandatory reviewer.</x:v>
      </x:c>
      <x:c r="C7" s="16" t="str">
        <x:v>Needs owner, reviewer, evidence, and approval before reuse.</x:v>
      </x:c>
      <x:c r="E7" s="21" t="str">
        <x:v>Red trigger count</x:v>
      </x:c>
      <x:c r="F7" s="10" t="n">
        <x:f>COUNTIF(B12:B21,"Yes")</x:f>
        <x:v>0</x:v>
      </x:c>
    </x:row>
    <x:row r="8" ht="64" customHeight="1">
      <x:c r="A8" s="17" t="str">
        <x:v>Red</x:v>
      </x:c>
      <x:c r="B8" s="17" t="str">
        <x:v>Customer NPI, credit, BSA/AML, fraud, authentication, complaints, account restrictions, security controls, legal/compliance determinations, production write access.</x:v>
      </x:c>
      <x:c r="C8" s="17" t="str">
        <x:v>Not a banker side project. Escalate to IT, InfoSec, Compliance, Risk, or Legal.</x:v>
      </x:c>
      <x:c r="E8" s="21" t="str">
        <x:v>Final risk decision</x:v>
      </x:c>
      <x:c r="F8" s="10" t="str">
        <x:f>IF(F7&gt;0,"Red - escalate",IF(F6="Yellow","Yellow - approval before reuse","Green - standard controls"))</x:f>
        <x:v>Green - standard controls</x:v>
      </x:c>
    </x:row>
    <x:row r="9" ht="48" customHeight="1">
      <x:c r="E9" s="21" t="str">
        <x:v>Message</x:v>
      </x:c>
      <x:c r="F9" s="10" t="str">
        <x:f>IF(F7&gt;0,"Blocked as an individual side build. Move it into formal review before prototyping.","Proceed only with named owner, reviewer, evidence, and allowed data boundary.")</x:f>
        <x:v>Proceed only with named owner, reviewer, evidence, and allowed data boundary.</x:v>
      </x:c>
    </x:row>
    <x:row r="11">
      <x:c r="A11" s="8" t="str">
        <x:v>Red trigger checklist</x:v>
      </x:c>
      <x:c r="B11" s="8" t="str">
        <x:v>Selected?</x:v>
      </x:c>
      <x:c r="C11" s="8" t="str">
        <x:v>Required reviewer / note</x:v>
      </x:c>
    </x:row>
    <x:row r="12" ht="30" customHeight="1">
      <x:c r="A12" s="11" t="str">
        <x:v>Customer NPI, account data, or complaint records</x:v>
      </x:c>
      <x:c r="B12" s="11" t="str"/>
      <x:c r="C12" s="11" t="str">
        <x:v>Compliance / Privacy</x:v>
      </x:c>
    </x:row>
    <x:row r="13" ht="30" customHeight="1">
      <x:c r="A13" s="11" t="str">
        <x:v>Credit, pricing, eligibility, or adverse-action support</x:v>
      </x:c>
      <x:c r="B13" s="11" t="str"/>
      <x:c r="C13" s="11" t="str">
        <x:v>Lending / Compliance / Fair Lending</x:v>
      </x:c>
    </x:row>
    <x:row r="14" ht="30" customHeight="1">
      <x:c r="A14" s="11" t="str">
        <x:v>BSA/AML, fraud, sanctions, or suspicious-activity content</x:v>
      </x:c>
      <x:c r="B14" s="11" t="str"/>
      <x:c r="C14" s="11" t="str">
        <x:v>BSA/AML / Fraud / Compliance</x:v>
      </x:c>
    </x:row>
    <x:row r="15" ht="30" customHeight="1">
      <x:c r="A15" s="11" t="str">
        <x:v>Authentication, access controls, security monitoring, or credentials</x:v>
      </x:c>
      <x:c r="B15" s="11" t="str"/>
      <x:c r="C15" s="11" t="str">
        <x:v>InfoSec / IT</x:v>
      </x:c>
    </x:row>
    <x:row r="16" ht="30" customHeight="1">
      <x:c r="A16" s="11" t="str">
        <x:v>Legal or compliance determinations</x:v>
      </x:c>
      <x:c r="B16" s="11" t="str"/>
      <x:c r="C16" s="11" t="str">
        <x:v>Legal / Compliance</x:v>
      </x:c>
    </x:row>
    <x:row r="17" ht="30" customHeight="1">
      <x:c r="A17" s="11" t="str">
        <x:v>Production write access, APIs, scripts, or system integration</x:v>
      </x:c>
      <x:c r="B17" s="11" t="str"/>
      <x:c r="C17" s="11" t="str">
        <x:v>IT / InfoSec</x:v>
      </x:c>
    </x:row>
    <x:row r="18" ht="30" customHeight="1">
      <x:c r="A18" s="11" t="str">
        <x:v>Official customer-facing output without reviewer approval</x:v>
      </x:c>
      <x:c r="B18" s="11" t="str"/>
      <x:c r="C18" s="11" t="str">
        <x:v>Business owner / Compliance</x:v>
      </x:c>
    </x:row>
    <x:row r="19" ht="30" customHeight="1">
      <x:c r="A19" s="11" t="str">
        <x:v>Automated decisioning or unattended workflow</x:v>
      </x:c>
      <x:c r="B19" s="11" t="str"/>
      <x:c r="C19" s="11" t="str">
        <x:v>Risk / IT / Compliance</x:v>
      </x:c>
    </x:row>
    <x:row r="20" ht="30" customHeight="1">
      <x:c r="A20" s="11" t="str">
        <x:v>Vendor workaround or feature gap in a regulated workflow</x:v>
      </x:c>
      <x:c r="B20" s="11" t="str"/>
      <x:c r="C20" s="11" t="str">
        <x:v>Vendor management / IT / Risk</x:v>
      </x:c>
    </x:row>
    <x:row r="21" ht="30" customHeight="1">
      <x:c r="A21" s="11" t="str">
        <x:v>Other high-risk item</x:v>
      </x:c>
      <x:c r="B21" s="11" t="str"/>
      <x:c r="C21" s="11" t="str">
        <x:v>Name reviewer before continuing</x:v>
      </x:c>
    </x:row>
  </x:sheetData>
  <x:mergeCells>
    <x:mergeCell ref="A1:E1"/>
    <x:mergeCell ref="A2:E2"/>
  </x:mergeCells>
  <x:dataValidations count="2">
    <x:dataValidation type="list" sqref="B12:B21">
      <x:formula1>"No,Yes"</x:formula1>
    </x:dataValidation>
    <x:dataValidation type="list" sqref="F6">
      <x:formula1>"Green,Yellow,Red"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</x:cols>
  <x:sheetData>
    <x:row r="1">
      <x:c r="A1" s="2" t="str">
        <x:v>Builder Decision Summary</x:v>
      </x:c>
      <x:c r="B1" s="2"/>
    </x:row>
    <x:row r="4">
      <x:c r="A4" s="14" t="str">
        <x:v>Solution name</x:v>
      </x:c>
      <x:c r="B4" s="11" t="str"/>
    </x:row>
    <x:row r="5">
      <x:c r="A5" s="14" t="str">
        <x:v>Build scorecard verdict</x:v>
      </x:c>
      <x:c r="B5" s="11" t="str"/>
    </x:row>
    <x:row r="6">
      <x:c r="A6" s="14" t="str">
        <x:v>Selected build level</x:v>
      </x:c>
      <x:c r="B6" s="11" t="n">
        <x:f>'Build Path'!B14</x:f>
        <x:v>0</x:v>
      </x:c>
    </x:row>
    <x:row r="7">
      <x:c r="A7" s="14" t="str">
        <x:v>Selected build path</x:v>
      </x:c>
      <x:c r="B7" s="11" t="n">
        <x:f>'Build Path'!B15</x:f>
        <x:v>0</x:v>
      </x:c>
    </x:row>
    <x:row r="8">
      <x:c r="A8" s="14" t="str">
        <x:v>Risk decision</x:v>
      </x:c>
      <x:c r="B8" s="11" t="str">
        <x:f>'Risk Gate'!F8</x:f>
        <x:v>Green - standard controls</x:v>
      </x:c>
    </x:row>
    <x:row r="9">
      <x:c r="A9" s="14" t="str">
        <x:v>Required reviewers</x:v>
      </x:c>
      <x:c r="B9" s="11" t="str"/>
    </x:row>
    <x:row r="10">
      <x:c r="A10" s="14" t="str">
        <x:v>Prototype decision</x:v>
      </x:c>
      <x:c r="B10" s="11" t="str"/>
    </x:row>
    <x:row r="11">
      <x:c r="A11" s="14" t="str">
        <x:v>Evidence location</x:v>
      </x:c>
      <x:c r="B11" s="11" t="str"/>
    </x:row>
    <x:row r="12">
      <x:c r="A12" s="14" t="str">
        <x:v>Next review date</x:v>
      </x:c>
      <x:c r="B12" s="11" t="str"/>
    </x:row>
  </x:sheetData>
  <x:mergeCells>
    <x:mergeCell ref="A1:B1"/>
  </x:mergeCells>
  <x:pageMargins left="0.7" right="0.7" top="0.75" bottom="0.75" header="0.3" footer="0.3"/>
</x:worksheet>
</file>